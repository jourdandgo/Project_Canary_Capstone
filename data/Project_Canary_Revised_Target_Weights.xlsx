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f3d9651df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d16d53324df4843"/>
    <x:sheet xmlns:r="http://schemas.openxmlformats.org/officeDocument/2006/relationships" name="Target Weights" sheetId="2" r:id="Rb61d8ba938bd47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4F3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F3A"/>
      </x:patternFill>
    </x:fill>
    <x:fill>
      <x:patternFill patternType="solid">
        <x:fgColor rgb="FFB8D936"/>
      </x:patternFill>
    </x:fill>
    <x:fill>
      <x:patternFill patternType="solid">
        <x:fgColor rgb="FFEEF5EF"/>
      </x:patternFill>
    </x:fill>
  </x:fills>
  <x:borders count="3">
    <x:border/>
    <x:border>
      <x:left style="thin">
        <x:color rgb="FFC9D8D0"/>
      </x:left>
      <x:right style="thin">
        <x:color rgb="FFC9D8D0"/>
      </x:right>
      <x:top style="thin">
        <x:color rgb="FFC9D8D0"/>
      </x:top>
      <x:bottom style="thin">
        <x:color rgb="FFC9D8D0"/>
      </x:bottom>
    </x:border>
    <x:border>
      <x:left style="thin">
        <x:color rgb="FFE5ECE8"/>
      </x:left>
      <x:right style="thin">
        <x:color rgb="FFE5ECE8"/>
      </x:right>
      <x:top style="thin">
        <x:color rgb="FFE5ECE8"/>
      </x:top>
      <x:bottom style="thin">
        <x:color rgb="FFE5ECE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EEF5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c419c97954e6d" /><Relationship Type="http://schemas.openxmlformats.org/officeDocument/2006/relationships/theme" Target="/xl/theme/theme1.xml" Id="Re586498d01b34153" /><Relationship Type="http://schemas.openxmlformats.org/officeDocument/2006/relationships/sharedStrings" Target="/xl/sharedStrings.xml" Id="R325b3a63b09e42f2" /><Relationship Type="http://schemas.openxmlformats.org/officeDocument/2006/relationships/worksheet" Target="/xl/worksheets/sheet1.xml" Id="R2d16d53324df4843" /><Relationship Type="http://schemas.openxmlformats.org/officeDocument/2006/relationships/worksheet" Target="/xl/worksheets/sheet2.xml" Id="Rb61d8ba938bd4759" /></Relationships>
</file>

<file path=xl/tables/table1.xml><?xml version="1.0" encoding="utf-8"?>
<x:table xmlns:x="http://schemas.openxmlformats.org/spreadsheetml/2006/main" id="1" name="RevisedTargetWeights" displayName="RevisedTargetWeights" ref="A1:H51" headerRowCount="1" totalsRowCount="0" totalsRowShown="0">
  <x:tableColumns count="8">
    <x:tableColumn id="1" name="Age"/>
    <x:tableColumn id="2" name="Target Weight (Linear Interpolation)"/>
    <x:tableColumn id="3" name="Daily Gain (Linear Interpolation)"/>
    <x:tableColumn id="4" name="Former Smoothed Curve Reference"/>
    <x:tableColumn id="5" name="Target Weight (Scaled Interpolation)"/>
    <x:tableColumn id="6" name="Daily Gain (Scaled Interpolation)"/>
    <x:tableColumn id="7" name="Gompertz Candidate"/>
    <x:tableColumn id="8" name="Gompertz Error vs Approved Checkpo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4b1ba0555547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38" hidden="0" customWidth="1"/>
  </x:cols>
  <x:sheetData>
    <x:row r="1">
      <x:c r="A1" s="3" t="str">
        <x:v>Project Canary · Revised Target Weights</x:v>
      </x:c>
      <x:c r="B1" s="3"/>
      <x:c r="C1" s="3"/>
      <x:c r="D1" s="3"/>
    </x:row>
    <x:row r="2">
      <x:c r="A2" s="3"/>
      <x:c r="B2" s="3"/>
      <x:c r="C2" s="3"/>
      <x:c r="D2" s="3"/>
    </x:row>
    <x:row r="4">
      <x:c r="A4" s="5" t="str">
        <x:v>Working anchor and farm-approved weekly checkpoints</x:v>
      </x:c>
      <x:c r="B4" s="5"/>
      <x:c r="C4" s="5"/>
      <x:c r="D4" s="5"/>
    </x:row>
    <x:row r="5">
      <x:c r="A5" s="7" t="str">
        <x:v>Day</x:v>
      </x:c>
      <x:c r="B5" s="7" t="str">
        <x:v>Target (g)</x:v>
      </x:c>
      <x:c r="C5" s="7" t="str">
        <x:v>Status</x:v>
      </x:c>
      <x:c r="D5" s="7" t="str">
        <x:v>Meaning</x:v>
      </x:c>
    </x:row>
    <x:row r="6">
      <x:c r="A6" s="8" t="n">
        <x:v>0</x:v>
      </x:c>
      <x:c r="B6" s="8" t="n">
        <x:v>40</x:v>
      </x:c>
      <x:c r="C6" s="8" t="str">
        <x:v>Working anchor</x:v>
      </x:c>
      <x:c r="D6" s="8" t="str">
        <x:v>Former placement-weight assumption</x:v>
      </x:c>
    </x:row>
    <x:row r="7">
      <x:c r="A7" s="8" t="n">
        <x:v>7</x:v>
      </x:c>
      <x:c r="B7" s="8" t="n">
        <x:v>170</x:v>
      </x:c>
      <x:c r="C7" s="8" t="str">
        <x:v>Approved</x:v>
      </x:c>
      <x:c r="D7" s="8" t="str">
        <x:v>Doc Raymond checkpoint</x:v>
      </x:c>
    </x:row>
    <x:row r="8">
      <x:c r="A8" s="8" t="n">
        <x:v>14</x:v>
      </x:c>
      <x:c r="B8" s="8" t="n">
        <x:v>380</x:v>
      </x:c>
      <x:c r="C8" s="8" t="str">
        <x:v>Approved</x:v>
      </x:c>
      <x:c r="D8" s="8" t="str">
        <x:v>Doc Raymond checkpoint</x:v>
      </x:c>
    </x:row>
    <x:row r="9">
      <x:c r="A9" s="8" t="n">
        <x:v>21</x:v>
      </x:c>
      <x:c r="B9" s="8" t="n">
        <x:v>800</x:v>
      </x:c>
      <x:c r="C9" s="8" t="str">
        <x:v>Approved</x:v>
      </x:c>
      <x:c r="D9" s="8" t="str">
        <x:v>Doc Raymond checkpoint</x:v>
      </x:c>
    </x:row>
    <x:row r="10">
      <x:c r="A10" s="8" t="n">
        <x:v>28</x:v>
      </x:c>
      <x:c r="B10" s="8" t="n">
        <x:v>1200</x:v>
      </x:c>
      <x:c r="C10" s="8" t="str">
        <x:v>Approved</x:v>
      </x:c>
      <x:c r="D10" s="8" t="str">
        <x:v>Doc Raymond checkpoint</x:v>
      </x:c>
    </x:row>
    <x:row r="11">
      <x:c r="A11" s="8" t="n">
        <x:v>35</x:v>
      </x:c>
      <x:c r="B11" s="8" t="n">
        <x:v>1800</x:v>
      </x:c>
      <x:c r="C11" s="8" t="str">
        <x:v>Approved</x:v>
      </x:c>
      <x:c r="D11" s="8" t="str">
        <x:v>Doc Raymond checkpoint</x:v>
      </x:c>
    </x:row>
    <x:row r="13">
      <x:c r="A13" s="5" t="str">
        <x:v>How Canary fills the days between checkpoints</x:v>
      </x:c>
      <x:c r="B13" s="5"/>
      <x:c r="C13" s="5"/>
      <x:c r="D13" s="5"/>
    </x:row>
    <x:row r="14">
      <x:c r="A14" s="11" t="str">
        <x:v>Canary uses the checkpoint-calibrated smoothed series: it preserves the former farm curve's proportional within-week shape and meets all revised farm checkpoints exactly. A three-parameter Gompertz curve was also tested because broiler growth is nonlinear. It fit the six anchors with 20 g MAE but missed individual approved checkpoints by as much as 42 g, so it is shown as a scientific comparison—not used as the operating target. Day 35 observed weight remains the model target (Y).</x:v>
      </x:c>
      <x:c r="B14" s="11"/>
      <x:c r="C14" s="11"/>
      <x:c r="D14" s="11"/>
    </x:row>
    <x:row r="15">
      <x:c r="A15" s="11"/>
      <x:c r="B15" s="11"/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</x:sheetData>
  <x:mergeCells>
    <x:mergeCell ref="A1:D2"/>
    <x:mergeCell ref="A4:D4"/>
    <x:mergeCell ref="A13:D13"/>
    <x:mergeCell ref="A14:D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2" t="str">
        <x:v>Age</x:v>
      </x:c>
      <x:c r="B1" s="12" t="str">
        <x:v>Target Weight (Linear Interpolation)</x:v>
      </x:c>
      <x:c r="C1" s="12" t="str">
        <x:v>Daily Gain (Linear Interpolation)</x:v>
      </x:c>
      <x:c r="D1" s="12" t="str">
        <x:v>Former Smoothed Curve Reference</x:v>
      </x:c>
      <x:c r="E1" s="12" t="str">
        <x:v>Target Weight (Scaled Interpolation)</x:v>
      </x:c>
      <x:c r="F1" s="12" t="str">
        <x:v>Daily Gain (Scaled Interpolation)</x:v>
      </x:c>
      <x:c r="G1" s="12" t="str">
        <x:v>Gompertz Candidate</x:v>
      </x:c>
      <x:c r="H1" s="12" t="str">
        <x:v>Gompertz Error vs Approved Checkpoint</x:v>
      </x:c>
    </x:row>
    <x:row r="2">
      <x:c r="A2" s="14" t="n">
        <x:v>0</x:v>
      </x:c>
      <x:c r="B2" s="14" t="n">
        <x:f>ROUND(IF(A2&lt;=7,40+A2/7*(170-40),IF(A2&lt;=14,170+(A2-7)/7*(380-170),IF(A2&lt;=21,380+(A2-14)/7*(800-380),IF(A2&lt;=28,800+(A2-21)/7*(1200-800),IF(A2&lt;=35,1200+(A2-28)/7*(1800-1200),1800))))),0)</x:f>
        <x:v>40</x:v>
      </x:c>
      <x:c r="C2" s="14"/>
      <x:c r="D2" s="14" t="n">
        <x:v>40</x:v>
      </x:c>
      <x:c r="E2" s="14" t="n">
        <x:f>ROUND(IF(A2&lt;=7,40+(D2-$D$2)/($D$9-$D$2)*(170-40),IF(A2&lt;=14,170+(D2-$D$9)/($D$16-$D$9)*(380-170),IF(A2&lt;=21,380+(D2-$D$16)/($D$23-$D$16)*(800-380),IF(A2&lt;=28,800+(D2-$D$23)/($D$30-$D$23)*(1200-800),IF(A2&lt;=35,1200+(D2-$D$30)/($D$37-$D$30)*(1800-1200),1800))))),0)</x:f>
        <x:v>40</x:v>
      </x:c>
      <x:c r="F2" s="14"/>
      <x:c r="G2" s="14" t="n">
        <x:v>53</x:v>
      </x:c>
      <x:c r="H2" s="14" t="n">
        <x:v>13</x:v>
      </x:c>
    </x:row>
    <x:row r="3">
      <x:c r="A3" s="14" t="n">
        <x:v>1</x:v>
      </x:c>
      <x:c r="B3" s="14" t="n">
        <x:f>ROUND(IF(A3&lt;=7,40+A3/7*(170-40),IF(A3&lt;=14,170+(A3-7)/7*(380-170),IF(A3&lt;=21,380+(A3-14)/7*(800-380),IF(A3&lt;=28,800+(A3-21)/7*(1200-800),IF(A3&lt;=35,1200+(A3-28)/7*(1800-1200),1800))))),0)</x:f>
        <x:v>59</x:v>
      </x:c>
      <x:c r="C3" s="14" t="n">
        <x:f>B3-B2</x:f>
        <x:v>19</x:v>
      </x:c>
      <x:c r="D3" s="14" t="n">
        <x:v>51</x:v>
      </x:c>
      <x:c r="E3" s="14" t="n">
        <x:f>ROUND(IF(A3&lt;=7,40+(D3-$D$2)/($D$9-$D$2)*(170-40),IF(A3&lt;=14,170+(D3-$D$9)/($D$16-$D$9)*(380-170),IF(A3&lt;=21,380+(D3-$D$16)/($D$23-$D$16)*(800-380),IF(A3&lt;=28,800+(D3-$D$23)/($D$30-$D$23)*(1200-800),IF(A3&lt;=35,1200+(D3-$D$30)/($D$37-$D$30)*(1800-1200),1800))))),0)</x:f>
        <x:v>50</x:v>
      </x:c>
      <x:c r="F3" s="14" t="n">
        <x:f>E3-E2</x:f>
        <x:v>10</x:v>
      </x:c>
      <x:c r="G3" s="14" t="n">
        <x:v>64</x:v>
      </x:c>
      <x:c r="H3" s="14"/>
    </x:row>
    <x:row r="4">
      <x:c r="A4" s="14" t="n">
        <x:v>2</x:v>
      </x:c>
      <x:c r="B4" s="14" t="n">
        <x:f>ROUND(IF(A4&lt;=7,40+A4/7*(170-40),IF(A4&lt;=14,170+(A4-7)/7*(380-170),IF(A4&lt;=21,380+(A4-14)/7*(800-380),IF(A4&lt;=28,800+(A4-21)/7*(1200-800),IF(A4&lt;=35,1200+(A4-28)/7*(1800-1200),1800))))),0)</x:f>
        <x:v>77</x:v>
      </x:c>
      <x:c r="C4" s="14" t="n">
        <x:f>B4-B3</x:f>
        <x:v>18</x:v>
      </x:c>
      <x:c r="D4" s="14" t="n">
        <x:v>65</x:v>
      </x:c>
      <x:c r="E4" s="14" t="n">
        <x:f>ROUND(IF(A4&lt;=7,40+(D4-$D$2)/($D$9-$D$2)*(170-40),IF(A4&lt;=14,170+(D4-$D$9)/($D$16-$D$9)*(380-170),IF(A4&lt;=21,380+(D4-$D$16)/($D$23-$D$16)*(800-380),IF(A4&lt;=28,800+(D4-$D$23)/($D$30-$D$23)*(1200-800),IF(A4&lt;=35,1200+(D4-$D$30)/($D$37-$D$30)*(1800-1200),1800))))),0)</x:f>
        <x:v>63</x:v>
      </x:c>
      <x:c r="F4" s="14" t="n">
        <x:f>E4-E3</x:f>
        <x:v>13</x:v>
      </x:c>
      <x:c r="G4" s="14" t="n">
        <x:v>77</x:v>
      </x:c>
      <x:c r="H4" s="14"/>
    </x:row>
    <x:row r="5">
      <x:c r="A5" s="14" t="n">
        <x:v>3</x:v>
      </x:c>
      <x:c r="B5" s="14" t="n">
        <x:f>ROUND(IF(A5&lt;=7,40+A5/7*(170-40),IF(A5&lt;=14,170+(A5-7)/7*(380-170),IF(A5&lt;=21,380+(A5-14)/7*(800-380),IF(A5&lt;=28,800+(A5-21)/7*(1200-800),IF(A5&lt;=35,1200+(A5-28)/7*(1800-1200),1800))))),0)</x:f>
        <x:v>96</x:v>
      </x:c>
      <x:c r="C5" s="14" t="n">
        <x:f>B5-B4</x:f>
        <x:v>19</x:v>
      </x:c>
      <x:c r="D5" s="14" t="n">
        <x:v>82</x:v>
      </x:c>
      <x:c r="E5" s="14" t="n">
        <x:f>ROUND(IF(A5&lt;=7,40+(D5-$D$2)/($D$9-$D$2)*(170-40),IF(A5&lt;=14,170+(D5-$D$9)/($D$16-$D$9)*(380-170),IF(A5&lt;=21,380+(D5-$D$16)/($D$23-$D$16)*(800-380),IF(A5&lt;=28,800+(D5-$D$23)/($D$30-$D$23)*(1200-800),IF(A5&lt;=35,1200+(D5-$D$30)/($D$37-$D$30)*(1800-1200),1800))))),0)</x:f>
        <x:v>79</x:v>
      </x:c>
      <x:c r="F5" s="14" t="n">
        <x:f>E5-E4</x:f>
        <x:v>16</x:v>
      </x:c>
      <x:c r="G5" s="14" t="n">
        <x:v>91</x:v>
      </x:c>
      <x:c r="H5" s="14"/>
    </x:row>
    <x:row r="6">
      <x:c r="A6" s="14" t="n">
        <x:v>4</x:v>
      </x:c>
      <x:c r="B6" s="14" t="n">
        <x:f>ROUND(IF(A6&lt;=7,40+A6/7*(170-40),IF(A6&lt;=14,170+(A6-7)/7*(380-170),IF(A6&lt;=21,380+(A6-14)/7*(800-380),IF(A6&lt;=28,800+(A6-21)/7*(1200-800),IF(A6&lt;=35,1200+(A6-28)/7*(1800-1200),1800))))),0)</x:f>
        <x:v>114</x:v>
      </x:c>
      <x:c r="C6" s="14" t="n">
        <x:f>B6-B5</x:f>
        <x:v>18</x:v>
      </x:c>
      <x:c r="D6" s="14" t="n">
        <x:v>101</x:v>
      </x:c>
      <x:c r="E6" s="14" t="n">
        <x:f>ROUND(IF(A6&lt;=7,40+(D6-$D$2)/($D$9-$D$2)*(170-40),IF(A6&lt;=14,170+(D6-$D$9)/($D$16-$D$9)*(380-170),IF(A6&lt;=21,380+(D6-$D$16)/($D$23-$D$16)*(800-380),IF(A6&lt;=28,800+(D6-$D$23)/($D$30-$D$23)*(1200-800),IF(A6&lt;=35,1200+(D6-$D$30)/($D$37-$D$30)*(1800-1200),1800))))),0)</x:f>
        <x:v>97</x:v>
      </x:c>
      <x:c r="F6" s="14" t="n">
        <x:f>E6-E5</x:f>
        <x:v>18</x:v>
      </x:c>
      <x:c r="G6" s="14" t="n">
        <x:v>107</x:v>
      </x:c>
      <x:c r="H6" s="14"/>
    </x:row>
    <x:row r="7">
      <x:c r="A7" s="14" t="n">
        <x:v>5</x:v>
      </x:c>
      <x:c r="B7" s="14" t="n">
        <x:f>ROUND(IF(A7&lt;=7,40+A7/7*(170-40),IF(A7&lt;=14,170+(A7-7)/7*(380-170),IF(A7&lt;=21,380+(A7-14)/7*(800-380),IF(A7&lt;=28,800+(A7-21)/7*(1200-800),IF(A7&lt;=35,1200+(A7-28)/7*(1800-1200),1800))))),0)</x:f>
        <x:v>133</x:v>
      </x:c>
      <x:c r="C7" s="14" t="n">
        <x:f>B7-B6</x:f>
        <x:v>19</x:v>
      </x:c>
      <x:c r="D7" s="14" t="n">
        <x:v>124</x:v>
      </x:c>
      <x:c r="E7" s="14" t="n">
        <x:f>ROUND(IF(A7&lt;=7,40+(D7-$D$2)/($D$9-$D$2)*(170-40),IF(A7&lt;=14,170+(D7-$D$9)/($D$16-$D$9)*(380-170),IF(A7&lt;=21,380+(D7-$D$16)/($D$23-$D$16)*(800-380),IF(A7&lt;=28,800+(D7-$D$23)/($D$30-$D$23)*(1200-800),IF(A7&lt;=35,1200+(D7-$D$30)/($D$37-$D$30)*(1800-1200),1800))))),0)</x:f>
        <x:v>118</x:v>
      </x:c>
      <x:c r="F7" s="14" t="n">
        <x:f>E7-E6</x:f>
        <x:v>21</x:v>
      </x:c>
      <x:c r="G7" s="14" t="n">
        <x:v>125</x:v>
      </x:c>
      <x:c r="H7" s="14"/>
    </x:row>
    <x:row r="8">
      <x:c r="A8" s="14" t="n">
        <x:v>6</x:v>
      </x:c>
      <x:c r="B8" s="14" t="n">
        <x:f>ROUND(IF(A8&lt;=7,40+A8/7*(170-40),IF(A8&lt;=14,170+(A8-7)/7*(380-170),IF(A8&lt;=21,380+(A8-14)/7*(800-380),IF(A8&lt;=28,800+(A8-21)/7*(1200-800),IF(A8&lt;=35,1200+(A8-28)/7*(1800-1200),1800))))),0)</x:f>
        <x:v>151</x:v>
      </x:c>
      <x:c r="C8" s="14" t="n">
        <x:f>B8-B7</x:f>
        <x:v>18</x:v>
      </x:c>
      <x:c r="D8" s="14" t="n">
        <x:v>150</x:v>
      </x:c>
      <x:c r="E8" s="14" t="n">
        <x:f>ROUND(IF(A8&lt;=7,40+(D8-$D$2)/($D$9-$D$2)*(170-40),IF(A8&lt;=14,170+(D8-$D$9)/($D$16-$D$9)*(380-170),IF(A8&lt;=21,380+(D8-$D$16)/($D$23-$D$16)*(800-380),IF(A8&lt;=28,800+(D8-$D$23)/($D$30-$D$23)*(1200-800),IF(A8&lt;=35,1200+(D8-$D$30)/($D$37-$D$30)*(1800-1200),1800))))),0)</x:f>
        <x:v>142</x:v>
      </x:c>
      <x:c r="F8" s="14" t="n">
        <x:f>E8-E7</x:f>
        <x:v>24</x:v>
      </x:c>
      <x:c r="G8" s="14" t="n">
        <x:v>145</x:v>
      </x:c>
      <x:c r="H8" s="14"/>
    </x:row>
    <x:row r="9">
      <x:c r="A9" s="14" t="n">
        <x:v>7</x:v>
      </x:c>
      <x:c r="B9" s="14" t="n">
        <x:f>ROUND(IF(A9&lt;=7,40+A9/7*(170-40),IF(A9&lt;=14,170+(A9-7)/7*(380-170),IF(A9&lt;=21,380+(A9-14)/7*(800-380),IF(A9&lt;=28,800+(A9-21)/7*(1200-800),IF(A9&lt;=35,1200+(A9-28)/7*(1800-1200),1800))))),0)</x:f>
        <x:v>170</x:v>
      </x:c>
      <x:c r="C9" s="14" t="n">
        <x:f>B9-B8</x:f>
        <x:v>19</x:v>
      </x:c>
      <x:c r="D9" s="14" t="n">
        <x:v>180</x:v>
      </x:c>
      <x:c r="E9" s="14" t="n">
        <x:f>ROUND(IF(A9&lt;=7,40+(D9-$D$2)/($D$9-$D$2)*(170-40),IF(A9&lt;=14,170+(D9-$D$9)/($D$16-$D$9)*(380-170),IF(A9&lt;=21,380+(D9-$D$16)/($D$23-$D$16)*(800-380),IF(A9&lt;=28,800+(D9-$D$23)/($D$30-$D$23)*(1200-800),IF(A9&lt;=35,1200+(D9-$D$30)/($D$37-$D$30)*(1800-1200),1800))))),0)</x:f>
        <x:v>170</x:v>
      </x:c>
      <x:c r="F9" s="14" t="n">
        <x:f>E9-E8</x:f>
        <x:v>28</x:v>
      </x:c>
      <x:c r="G9" s="14" t="n">
        <x:v>167</x:v>
      </x:c>
      <x:c r="H9" s="14" t="n">
        <x:v>-3</x:v>
      </x:c>
    </x:row>
    <x:row r="10">
      <x:c r="A10" s="14" t="n">
        <x:v>8</x:v>
      </x:c>
      <x:c r="B10" s="14" t="n">
        <x:f>ROUND(IF(A10&lt;=7,40+A10/7*(170-40),IF(A10&lt;=14,170+(A10-7)/7*(380-170),IF(A10&lt;=21,380+(A10-14)/7*(800-380),IF(A10&lt;=28,800+(A10-21)/7*(1200-800),IF(A10&lt;=35,1200+(A10-28)/7*(1800-1200),1800))))),0)</x:f>
        <x:v>200</x:v>
      </x:c>
      <x:c r="C10" s="14" t="n">
        <x:f>B10-B9</x:f>
        <x:v>30</x:v>
      </x:c>
      <x:c r="D10" s="14" t="n">
        <x:v>203</x:v>
      </x:c>
      <x:c r="E10" s="14" t="n">
        <x:f>ROUND(IF(A10&lt;=7,40+(D10-$D$2)/($D$9-$D$2)*(170-40),IF(A10&lt;=14,170+(D10-$D$9)/($D$16-$D$9)*(380-170),IF(A10&lt;=21,380+(D10-$D$16)/($D$23-$D$16)*(800-380),IF(A10&lt;=28,800+(D10-$D$23)/($D$30-$D$23)*(1200-800),IF(A10&lt;=35,1200+(D10-$D$30)/($D$37-$D$30)*(1800-1200),1800))))),0)</x:f>
        <x:v>192</x:v>
      </x:c>
      <x:c r="F10" s="14" t="n">
        <x:f>E10-E9</x:f>
        <x:v>22</x:v>
      </x:c>
      <x:c r="G10" s="14" t="n">
        <x:v>192</x:v>
      </x:c>
      <x:c r="H10" s="14"/>
    </x:row>
    <x:row r="11">
      <x:c r="A11" s="14" t="n">
        <x:v>9</x:v>
      </x:c>
      <x:c r="B11" s="14" t="n">
        <x:f>ROUND(IF(A11&lt;=7,40+A11/7*(170-40),IF(A11&lt;=14,170+(A11-7)/7*(380-170),IF(A11&lt;=21,380+(A11-14)/7*(800-380),IF(A11&lt;=28,800+(A11-21)/7*(1200-800),IF(A11&lt;=35,1200+(A11-28)/7*(1800-1200),1800))))),0)</x:f>
        <x:v>230</x:v>
      </x:c>
      <x:c r="C11" s="14" t="n">
        <x:f>B11-B10</x:f>
        <x:v>30</x:v>
      </x:c>
      <x:c r="D11" s="14" t="n">
        <x:v>228</x:v>
      </x:c>
      <x:c r="E11" s="14" t="n">
        <x:f>ROUND(IF(A11&lt;=7,40+(D11-$D$2)/($D$9-$D$2)*(170-40),IF(A11&lt;=14,170+(D11-$D$9)/($D$16-$D$9)*(380-170),IF(A11&lt;=21,380+(D11-$D$16)/($D$23-$D$16)*(800-380),IF(A11&lt;=28,800+(D11-$D$23)/($D$30-$D$23)*(1200-800),IF(A11&lt;=35,1200+(D11-$D$30)/($D$37-$D$30)*(1800-1200),1800))))),0)</x:f>
        <x:v>216</x:v>
      </x:c>
      <x:c r="F11" s="14" t="n">
        <x:f>E11-E10</x:f>
        <x:v>24</x:v>
      </x:c>
      <x:c r="G11" s="14" t="n">
        <x:v>220</x:v>
      </x:c>
      <x:c r="H11" s="14"/>
    </x:row>
    <x:row r="12">
      <x:c r="A12" s="14" t="n">
        <x:v>10</x:v>
      </x:c>
      <x:c r="B12" s="14" t="n">
        <x:f>ROUND(IF(A12&lt;=7,40+A12/7*(170-40),IF(A12&lt;=14,170+(A12-7)/7*(380-170),IF(A12&lt;=21,380+(A12-14)/7*(800-380),IF(A12&lt;=28,800+(A12-21)/7*(1200-800),IF(A12&lt;=35,1200+(A12-28)/7*(1800-1200),1800))))),0)</x:f>
        <x:v>260</x:v>
      </x:c>
      <x:c r="C12" s="14" t="n">
        <x:f>B12-B11</x:f>
        <x:v>30</x:v>
      </x:c>
      <x:c r="D12" s="14" t="n">
        <x:v>257</x:v>
      </x:c>
      <x:c r="E12" s="14" t="n">
        <x:f>ROUND(IF(A12&lt;=7,40+(D12-$D$2)/($D$9-$D$2)*(170-40),IF(A12&lt;=14,170+(D12-$D$9)/($D$16-$D$9)*(380-170),IF(A12&lt;=21,380+(D12-$D$16)/($D$23-$D$16)*(800-380),IF(A12&lt;=28,800+(D12-$D$23)/($D$30-$D$23)*(1200-800),IF(A12&lt;=35,1200+(D12-$D$30)/($D$37-$D$30)*(1800-1200),1800))))),0)</x:f>
        <x:v>244</x:v>
      </x:c>
      <x:c r="F12" s="14" t="n">
        <x:f>E12-E11</x:f>
        <x:v>28</x:v>
      </x:c>
      <x:c r="G12" s="14" t="n">
        <x:v>249</x:v>
      </x:c>
      <x:c r="H12" s="14"/>
    </x:row>
    <x:row r="13">
      <x:c r="A13" s="14" t="n">
        <x:v>11</x:v>
      </x:c>
      <x:c r="B13" s="14" t="n">
        <x:f>ROUND(IF(A13&lt;=7,40+A13/7*(170-40),IF(A13&lt;=14,170+(A13-7)/7*(380-170),IF(A13&lt;=21,380+(A13-14)/7*(800-380),IF(A13&lt;=28,800+(A13-21)/7*(1200-800),IF(A13&lt;=35,1200+(A13-28)/7*(1800-1200),1800))))),0)</x:f>
        <x:v>290</x:v>
      </x:c>
      <x:c r="C13" s="14" t="n">
        <x:f>B13-B12</x:f>
        <x:v>30</x:v>
      </x:c>
      <x:c r="D13" s="14" t="n">
        <x:v>288</x:v>
      </x:c>
      <x:c r="E13" s="14" t="n">
        <x:f>ROUND(IF(A13&lt;=7,40+(D13-$D$2)/($D$9-$D$2)*(170-40),IF(A13&lt;=14,170+(D13-$D$9)/($D$16-$D$9)*(380-170),IF(A13&lt;=21,380+(D13-$D$16)/($D$23-$D$16)*(800-380),IF(A13&lt;=28,800+(D13-$D$23)/($D$30-$D$23)*(1200-800),IF(A13&lt;=35,1200+(D13-$D$30)/($D$37-$D$30)*(1800-1200),1800))))),0)</x:f>
        <x:v>273</x:v>
      </x:c>
      <x:c r="F13" s="14" t="n">
        <x:f>E13-E12</x:f>
        <x:v>29</x:v>
      </x:c>
      <x:c r="G13" s="14" t="n">
        <x:v>282</x:v>
      </x:c>
      <x:c r="H13" s="14"/>
    </x:row>
    <x:row r="14">
      <x:c r="A14" s="14" t="n">
        <x:v>12</x:v>
      </x:c>
      <x:c r="B14" s="14" t="n">
        <x:f>ROUND(IF(A14&lt;=7,40+A14/7*(170-40),IF(A14&lt;=14,170+(A14-7)/7*(380-170),IF(A14&lt;=21,380+(A14-14)/7*(800-380),IF(A14&lt;=28,800+(A14-21)/7*(1200-800),IF(A14&lt;=35,1200+(A14-28)/7*(1800-1200),1800))))),0)</x:f>
        <x:v>320</x:v>
      </x:c>
      <x:c r="C14" s="14" t="n">
        <x:f>B14-B13</x:f>
        <x:v>30</x:v>
      </x:c>
      <x:c r="D14" s="14" t="n">
        <x:v>322</x:v>
      </x:c>
      <x:c r="E14" s="14" t="n">
        <x:f>ROUND(IF(A14&lt;=7,40+(D14-$D$2)/($D$9-$D$2)*(170-40),IF(A14&lt;=14,170+(D14-$D$9)/($D$16-$D$9)*(380-170),IF(A14&lt;=21,380+(D14-$D$16)/($D$23-$D$16)*(800-380),IF(A14&lt;=28,800+(D14-$D$23)/($D$30-$D$23)*(1200-800),IF(A14&lt;=35,1200+(D14-$D$30)/($D$37-$D$30)*(1800-1200),1800))))),0)</x:f>
        <x:v>306</x:v>
      </x:c>
      <x:c r="F14" s="14" t="n">
        <x:f>E14-E13</x:f>
        <x:v>33</x:v>
      </x:c>
      <x:c r="G14" s="14" t="n">
        <x:v>317</x:v>
      </x:c>
      <x:c r="H14" s="14"/>
    </x:row>
    <x:row r="15">
      <x:c r="A15" s="14" t="n">
        <x:v>13</x:v>
      </x:c>
      <x:c r="B15" s="14" t="n">
        <x:f>ROUND(IF(A15&lt;=7,40+A15/7*(170-40),IF(A15&lt;=14,170+(A15-7)/7*(380-170),IF(A15&lt;=21,380+(A15-14)/7*(800-380),IF(A15&lt;=28,800+(A15-21)/7*(1200-800),IF(A15&lt;=35,1200+(A15-28)/7*(1800-1200),1800))))),0)</x:f>
        <x:v>350</x:v>
      </x:c>
      <x:c r="C15" s="14" t="n">
        <x:f>B15-B14</x:f>
        <x:v>30</x:v>
      </x:c>
      <x:c r="D15" s="14" t="n">
        <x:v>360</x:v>
      </x:c>
      <x:c r="E15" s="14" t="n">
        <x:f>ROUND(IF(A15&lt;=7,40+(D15-$D$2)/($D$9-$D$2)*(170-40),IF(A15&lt;=14,170+(D15-$D$9)/($D$16-$D$9)*(380-170),IF(A15&lt;=21,380+(D15-$D$16)/($D$23-$D$16)*(800-380),IF(A15&lt;=28,800+(D15-$D$23)/($D$30-$D$23)*(1200-800),IF(A15&lt;=35,1200+(D15-$D$30)/($D$37-$D$30)*(1800-1200),1800))))),0)</x:f>
        <x:v>342</x:v>
      </x:c>
      <x:c r="F15" s="14" t="n">
        <x:f>E15-E14</x:f>
        <x:v>36</x:v>
      </x:c>
      <x:c r="G15" s="14" t="n">
        <x:v>355</x:v>
      </x:c>
      <x:c r="H15" s="14"/>
    </x:row>
    <x:row r="16">
      <x:c r="A16" s="14" t="n">
        <x:v>14</x:v>
      </x:c>
      <x:c r="B16" s="14" t="n">
        <x:f>ROUND(IF(A16&lt;=7,40+A16/7*(170-40),IF(A16&lt;=14,170+(A16-7)/7*(380-170),IF(A16&lt;=21,380+(A16-14)/7*(800-380),IF(A16&lt;=28,800+(A16-21)/7*(1200-800),IF(A16&lt;=35,1200+(A16-28)/7*(1800-1200),1800))))),0)</x:f>
        <x:v>380</x:v>
      </x:c>
      <x:c r="C16" s="14" t="n">
        <x:f>B16-B15</x:f>
        <x:v>30</x:v>
      </x:c>
      <x:c r="D16" s="14" t="n">
        <x:v>400</x:v>
      </x:c>
      <x:c r="E16" s="14" t="n">
        <x:f>ROUND(IF(A16&lt;=7,40+(D16-$D$2)/($D$9-$D$2)*(170-40),IF(A16&lt;=14,170+(D16-$D$9)/($D$16-$D$9)*(380-170),IF(A16&lt;=21,380+(D16-$D$16)/($D$23-$D$16)*(800-380),IF(A16&lt;=28,800+(D16-$D$23)/($D$30-$D$23)*(1200-800),IF(A16&lt;=35,1200+(D16-$D$30)/($D$37-$D$30)*(1800-1200),1800))))),0)</x:f>
        <x:v>380</x:v>
      </x:c>
      <x:c r="F16" s="14" t="n">
        <x:f>E16-E15</x:f>
        <x:v>38</x:v>
      </x:c>
      <x:c r="G16" s="14" t="n">
        <x:v>396</x:v>
      </x:c>
      <x:c r="H16" s="14" t="n">
        <x:v>16</x:v>
      </x:c>
    </x:row>
    <x:row r="17">
      <x:c r="A17" s="14" t="n">
        <x:v>15</x:v>
      </x:c>
      <x:c r="B17" s="14" t="n">
        <x:f>ROUND(IF(A17&lt;=7,40+A17/7*(170-40),IF(A17&lt;=14,170+(A17-7)/7*(380-170),IF(A17&lt;=21,380+(A17-14)/7*(800-380),IF(A17&lt;=28,800+(A17-21)/7*(1200-800),IF(A17&lt;=35,1200+(A17-28)/7*(1800-1200),1800))))),0)</x:f>
        <x:v>440</x:v>
      </x:c>
      <x:c r="C17" s="14" t="n">
        <x:f>B17-B16</x:f>
        <x:v>60</x:v>
      </x:c>
      <x:c r="D17" s="14" t="n">
        <x:v>451</x:v>
      </x:c>
      <x:c r="E17" s="14" t="n">
        <x:f>ROUND(IF(A17&lt;=7,40+(D17-$D$2)/($D$9-$D$2)*(170-40),IF(A17&lt;=14,170+(D17-$D$9)/($D$16-$D$9)*(380-170),IF(A17&lt;=21,380+(D17-$D$16)/($D$23-$D$16)*(800-380),IF(A17&lt;=28,800+(D17-$D$23)/($D$30-$D$23)*(1200-800),IF(A17&lt;=35,1200+(D17-$D$30)/($D$37-$D$30)*(1800-1200),1800))))),0)</x:f>
        <x:v>434</x:v>
      </x:c>
      <x:c r="F17" s="14" t="n">
        <x:f>E17-E16</x:f>
        <x:v>54</x:v>
      </x:c>
      <x:c r="G17" s="14" t="n">
        <x:v>439</x:v>
      </x:c>
      <x:c r="H17" s="14"/>
    </x:row>
    <x:row r="18">
      <x:c r="A18" s="14" t="n">
        <x:v>16</x:v>
      </x:c>
      <x:c r="B18" s="14" t="n">
        <x:f>ROUND(IF(A18&lt;=7,40+A18/7*(170-40),IF(A18&lt;=14,170+(A18-7)/7*(380-170),IF(A18&lt;=21,380+(A18-14)/7*(800-380),IF(A18&lt;=28,800+(A18-21)/7*(1200-800),IF(A18&lt;=35,1200+(A18-28)/7*(1800-1200),1800))))),0)</x:f>
        <x:v>500</x:v>
      </x:c>
      <x:c r="C18" s="14" t="n">
        <x:f>B18-B17</x:f>
        <x:v>60</x:v>
      </x:c>
      <x:c r="D18" s="14" t="n">
        <x:v>503</x:v>
      </x:c>
      <x:c r="E18" s="14" t="n">
        <x:f>ROUND(IF(A18&lt;=7,40+(D18-$D$2)/($D$9-$D$2)*(170-40),IF(A18&lt;=14,170+(D18-$D$9)/($D$16-$D$9)*(380-170),IF(A18&lt;=21,380+(D18-$D$16)/($D$23-$D$16)*(800-380),IF(A18&lt;=28,800+(D18-$D$23)/($D$30-$D$23)*(1200-800),IF(A18&lt;=35,1200+(D18-$D$30)/($D$37-$D$30)*(1800-1200),1800))))),0)</x:f>
        <x:v>488</x:v>
      </x:c>
      <x:c r="F18" s="14" t="n">
        <x:f>E18-E17</x:f>
        <x:v>54</x:v>
      </x:c>
      <x:c r="G18" s="14" t="n">
        <x:v>486</x:v>
      </x:c>
      <x:c r="H18" s="14"/>
    </x:row>
    <x:row r="19">
      <x:c r="A19" s="14" t="n">
        <x:v>17</x:v>
      </x:c>
      <x:c r="B19" s="14" t="n">
        <x:f>ROUND(IF(A19&lt;=7,40+A19/7*(170-40),IF(A19&lt;=14,170+(A19-7)/7*(380-170),IF(A19&lt;=21,380+(A19-14)/7*(800-380),IF(A19&lt;=28,800+(A19-21)/7*(1200-800),IF(A19&lt;=35,1200+(A19-28)/7*(1800-1200),1800))))),0)</x:f>
        <x:v>560</x:v>
      </x:c>
      <x:c r="C19" s="14" t="n">
        <x:f>B19-B18</x:f>
        <x:v>60</x:v>
      </x:c>
      <x:c r="D19" s="14" t="n">
        <x:v>558</x:v>
      </x:c>
      <x:c r="E19" s="14" t="n">
        <x:f>ROUND(IF(A19&lt;=7,40+(D19-$D$2)/($D$9-$D$2)*(170-40),IF(A19&lt;=14,170+(D19-$D$9)/($D$16-$D$9)*(380-170),IF(A19&lt;=21,380+(D19-$D$16)/($D$23-$D$16)*(800-380),IF(A19&lt;=28,800+(D19-$D$23)/($D$30-$D$23)*(1200-800),IF(A19&lt;=35,1200+(D19-$D$30)/($D$37-$D$30)*(1800-1200),1800))))),0)</x:f>
        <x:v>546</x:v>
      </x:c>
      <x:c r="F19" s="14" t="n">
        <x:f>E19-E18</x:f>
        <x:v>58</x:v>
      </x:c>
      <x:c r="G19" s="14" t="n">
        <x:v>535</x:v>
      </x:c>
      <x:c r="H19" s="14"/>
    </x:row>
    <x:row r="20">
      <x:c r="A20" s="14" t="n">
        <x:v>18</x:v>
      </x:c>
      <x:c r="B20" s="14" t="n">
        <x:f>ROUND(IF(A20&lt;=7,40+A20/7*(170-40),IF(A20&lt;=14,170+(A20-7)/7*(380-170),IF(A20&lt;=21,380+(A20-14)/7*(800-380),IF(A20&lt;=28,800+(A20-21)/7*(1200-800),IF(A20&lt;=35,1200+(A20-28)/7*(1800-1200),1800))))),0)</x:f>
        <x:v>620</x:v>
      </x:c>
      <x:c r="C20" s="14" t="n">
        <x:f>B20-B19</x:f>
        <x:v>60</x:v>
      </x:c>
      <x:c r="D20" s="14" t="n">
        <x:v>615</x:v>
      </x:c>
      <x:c r="E20" s="14" t="n">
        <x:f>ROUND(IF(A20&lt;=7,40+(D20-$D$2)/($D$9-$D$2)*(170-40),IF(A20&lt;=14,170+(D20-$D$9)/($D$16-$D$9)*(380-170),IF(A20&lt;=21,380+(D20-$D$16)/($D$23-$D$16)*(800-380),IF(A20&lt;=28,800+(D20-$D$23)/($D$30-$D$23)*(1200-800),IF(A20&lt;=35,1200+(D20-$D$30)/($D$37-$D$30)*(1800-1200),1800))))),0)</x:f>
        <x:v>606</x:v>
      </x:c>
      <x:c r="F20" s="14" t="n">
        <x:f>E20-E19</x:f>
        <x:v>60</x:v>
      </x:c>
      <x:c r="G20" s="14" t="n">
        <x:v>586</x:v>
      </x:c>
      <x:c r="H20" s="14"/>
    </x:row>
    <x:row r="21">
      <x:c r="A21" s="14" t="n">
        <x:v>19</x:v>
      </x:c>
      <x:c r="B21" s="14" t="n">
        <x:f>ROUND(IF(A21&lt;=7,40+A21/7*(170-40),IF(A21&lt;=14,170+(A21-7)/7*(380-170),IF(A21&lt;=21,380+(A21-14)/7*(800-380),IF(A21&lt;=28,800+(A21-21)/7*(1200-800),IF(A21&lt;=35,1200+(A21-28)/7*(1800-1200),1800))))),0)</x:f>
        <x:v>680</x:v>
      </x:c>
      <x:c r="C21" s="14" t="n">
        <x:f>B21-B20</x:f>
        <x:v>60</x:v>
      </x:c>
      <x:c r="D21" s="14" t="n">
        <x:v>675</x:v>
      </x:c>
      <x:c r="E21" s="14" t="n">
        <x:f>ROUND(IF(A21&lt;=7,40+(D21-$D$2)/($D$9-$D$2)*(170-40),IF(A21&lt;=14,170+(D21-$D$9)/($D$16-$D$9)*(380-170),IF(A21&lt;=21,380+(D21-$D$16)/($D$23-$D$16)*(800-380),IF(A21&lt;=28,800+(D21-$D$23)/($D$30-$D$23)*(1200-800),IF(A21&lt;=35,1200+(D21-$D$30)/($D$37-$D$30)*(1800-1200),1800))))),0)</x:f>
        <x:v>669</x:v>
      </x:c>
      <x:c r="F21" s="14" t="n">
        <x:f>E21-E20</x:f>
        <x:v>63</x:v>
      </x:c>
      <x:c r="G21" s="14" t="n">
        <x:v>641</x:v>
      </x:c>
      <x:c r="H21" s="14"/>
    </x:row>
    <x:row r="22">
      <x:c r="A22" s="14" t="n">
        <x:v>20</x:v>
      </x:c>
      <x:c r="B22" s="14" t="n">
        <x:f>ROUND(IF(A22&lt;=7,40+A22/7*(170-40),IF(A22&lt;=14,170+(A22-7)/7*(380-170),IF(A22&lt;=21,380+(A22-14)/7*(800-380),IF(A22&lt;=28,800+(A22-21)/7*(1200-800),IF(A22&lt;=35,1200+(A22-28)/7*(1800-1200),1800))))),0)</x:f>
        <x:v>740</x:v>
      </x:c>
      <x:c r="C22" s="14" t="n">
        <x:f>B22-B21</x:f>
        <x:v>60</x:v>
      </x:c>
      <x:c r="D22" s="14" t="n">
        <x:v>736</x:v>
      </x:c>
      <x:c r="E22" s="14" t="n">
        <x:f>ROUND(IF(A22&lt;=7,40+(D22-$D$2)/($D$9-$D$2)*(170-40),IF(A22&lt;=14,170+(D22-$D$9)/($D$16-$D$9)*(380-170),IF(A22&lt;=21,380+(D22-$D$16)/($D$23-$D$16)*(800-380),IF(A22&lt;=28,800+(D22-$D$23)/($D$30-$D$23)*(1200-800),IF(A22&lt;=35,1200+(D22-$D$30)/($D$37-$D$30)*(1800-1200),1800))))),0)</x:f>
        <x:v>733</x:v>
      </x:c>
      <x:c r="F22" s="14" t="n">
        <x:f>E22-E21</x:f>
        <x:v>64</x:v>
      </x:c>
      <x:c r="G22" s="14" t="n">
        <x:v>698</x:v>
      </x:c>
      <x:c r="H22" s="14"/>
    </x:row>
    <x:row r="23">
      <x:c r="A23" s="14" t="n">
        <x:v>21</x:v>
      </x:c>
      <x:c r="B23" s="14" t="n">
        <x:f>ROUND(IF(A23&lt;=7,40+A23/7*(170-40),IF(A23&lt;=14,170+(A23-7)/7*(380-170),IF(A23&lt;=21,380+(A23-14)/7*(800-380),IF(A23&lt;=28,800+(A23-21)/7*(1200-800),IF(A23&lt;=35,1200+(A23-28)/7*(1800-1200),1800))))),0)</x:f>
        <x:v>800</x:v>
      </x:c>
      <x:c r="C23" s="14" t="n">
        <x:f>B23-B22</x:f>
        <x:v>60</x:v>
      </x:c>
      <x:c r="D23" s="14" t="n">
        <x:v>800</x:v>
      </x:c>
      <x:c r="E23" s="14" t="n">
        <x:f>ROUND(IF(A23&lt;=7,40+(D23-$D$2)/($D$9-$D$2)*(170-40),IF(A23&lt;=14,170+(D23-$D$9)/($D$16-$D$9)*(380-170),IF(A23&lt;=21,380+(D23-$D$16)/($D$23-$D$16)*(800-380),IF(A23&lt;=28,800+(D23-$D$23)/($D$30-$D$23)*(1200-800),IF(A23&lt;=35,1200+(D23-$D$30)/($D$37-$D$30)*(1800-1200),1800))))),0)</x:f>
        <x:v>800</x:v>
      </x:c>
      <x:c r="F23" s="14" t="n">
        <x:f>E23-E22</x:f>
        <x:v>67</x:v>
      </x:c>
      <x:c r="G23" s="14" t="n">
        <x:v>758</x:v>
      </x:c>
      <x:c r="H23" s="14" t="n">
        <x:v>-42</x:v>
      </x:c>
    </x:row>
    <x:row r="24">
      <x:c r="A24" s="14" t="n">
        <x:v>22</x:v>
      </x:c>
      <x:c r="B24" s="14" t="n">
        <x:f>ROUND(IF(A24&lt;=7,40+A24/7*(170-40),IF(A24&lt;=14,170+(A24-7)/7*(380-170),IF(A24&lt;=21,380+(A24-14)/7*(800-380),IF(A24&lt;=28,800+(A24-21)/7*(1200-800),IF(A24&lt;=35,1200+(A24-28)/7*(1800-1200),1800))))),0)</x:f>
        <x:v>857</x:v>
      </x:c>
      <x:c r="C24" s="14" t="n">
        <x:f>B24-B23</x:f>
        <x:v>57</x:v>
      </x:c>
      <x:c r="D24" s="14" t="n">
        <x:v>893</x:v>
      </x:c>
      <x:c r="E24" s="14" t="n">
        <x:f>ROUND(IF(A24&lt;=7,40+(D24-$D$2)/($D$9-$D$2)*(170-40),IF(A24&lt;=14,170+(D24-$D$9)/($D$16-$D$9)*(380-170),IF(A24&lt;=21,380+(D24-$D$16)/($D$23-$D$16)*(800-380),IF(A24&lt;=28,800+(D24-$D$23)/($D$30-$D$23)*(1200-800),IF(A24&lt;=35,1200+(D24-$D$30)/($D$37-$D$30)*(1800-1200),1800))))),0)</x:f>
        <x:v>853</x:v>
      </x:c>
      <x:c r="F24" s="14" t="n">
        <x:f>E24-E23</x:f>
        <x:v>53</x:v>
      </x:c>
      <x:c r="G24" s="14" t="n">
        <x:v>820</x:v>
      </x:c>
      <x:c r="H24" s="14"/>
    </x:row>
    <x:row r="25">
      <x:c r="A25" s="14" t="n">
        <x:v>23</x:v>
      </x:c>
      <x:c r="B25" s="14" t="n">
        <x:f>ROUND(IF(A25&lt;=7,40+A25/7*(170-40),IF(A25&lt;=14,170+(A25-7)/7*(380-170),IF(A25&lt;=21,380+(A25-14)/7*(800-380),IF(A25&lt;=28,800+(A25-21)/7*(1200-800),IF(A25&lt;=35,1200+(A25-28)/7*(1800-1200),1800))))),0)</x:f>
        <x:v>914</x:v>
      </x:c>
      <x:c r="C25" s="14" t="n">
        <x:f>B25-B24</x:f>
        <x:v>57</x:v>
      </x:c>
      <x:c r="D25" s="14" t="n">
        <x:v>989</x:v>
      </x:c>
      <x:c r="E25" s="14" t="n">
        <x:f>ROUND(IF(A25&lt;=7,40+(D25-$D$2)/($D$9-$D$2)*(170-40),IF(A25&lt;=14,170+(D25-$D$9)/($D$16-$D$9)*(380-170),IF(A25&lt;=21,380+(D25-$D$16)/($D$23-$D$16)*(800-380),IF(A25&lt;=28,800+(D25-$D$23)/($D$30-$D$23)*(1200-800),IF(A25&lt;=35,1200+(D25-$D$30)/($D$37-$D$30)*(1800-1200),1800))))),0)</x:f>
        <x:v>908</x:v>
      </x:c>
      <x:c r="F25" s="14" t="n">
        <x:f>E25-E24</x:f>
        <x:v>55</x:v>
      </x:c>
      <x:c r="G25" s="14" t="n">
        <x:v>884</x:v>
      </x:c>
      <x:c r="H25" s="14"/>
    </x:row>
    <x:row r="26">
      <x:c r="A26" s="14" t="n">
        <x:v>24</x:v>
      </x:c>
      <x:c r="B26" s="14" t="n">
        <x:f>ROUND(IF(A26&lt;=7,40+A26/7*(170-40),IF(A26&lt;=14,170+(A26-7)/7*(380-170),IF(A26&lt;=21,380+(A26-14)/7*(800-380),IF(A26&lt;=28,800+(A26-21)/7*(1200-800),IF(A26&lt;=35,1200+(A26-28)/7*(1800-1200),1800))))),0)</x:f>
        <x:v>971</x:v>
      </x:c>
      <x:c r="C26" s="14" t="n">
        <x:f>B26-B25</x:f>
        <x:v>57</x:v>
      </x:c>
      <x:c r="D26" s="14" t="n">
        <x:v>1088</x:v>
      </x:c>
      <x:c r="E26" s="14" t="n">
        <x:f>ROUND(IF(A26&lt;=7,40+(D26-$D$2)/($D$9-$D$2)*(170-40),IF(A26&lt;=14,170+(D26-$D$9)/($D$16-$D$9)*(380-170),IF(A26&lt;=21,380+(D26-$D$16)/($D$23-$D$16)*(800-380),IF(A26&lt;=28,800+(D26-$D$23)/($D$30-$D$23)*(1200-800),IF(A26&lt;=35,1200+(D26-$D$30)/($D$37-$D$30)*(1800-1200),1800))))),0)</x:f>
        <x:v>965</x:v>
      </x:c>
      <x:c r="F26" s="14" t="n">
        <x:f>E26-E25</x:f>
        <x:v>57</x:v>
      </x:c>
      <x:c r="G26" s="14" t="n">
        <x:v>951</x:v>
      </x:c>
      <x:c r="H26" s="14"/>
    </x:row>
    <x:row r="27">
      <x:c r="A27" s="14" t="n">
        <x:v>25</x:v>
      </x:c>
      <x:c r="B27" s="14" t="n">
        <x:f>ROUND(IF(A27&lt;=7,40+A27/7*(170-40),IF(A27&lt;=14,170+(A27-7)/7*(380-170),IF(A27&lt;=21,380+(A27-14)/7*(800-380),IF(A27&lt;=28,800+(A27-21)/7*(1200-800),IF(A27&lt;=35,1200+(A27-28)/7*(1800-1200),1800))))),0)</x:f>
        <x:v>1029</x:v>
      </x:c>
      <x:c r="C27" s="14" t="n">
        <x:f>B27-B26</x:f>
        <x:v>58</x:v>
      </x:c>
      <x:c r="D27" s="14" t="n">
        <x:v>1188</x:v>
      </x:c>
      <x:c r="E27" s="14" t="n">
        <x:f>ROUND(IF(A27&lt;=7,40+(D27-$D$2)/($D$9-$D$2)*(170-40),IF(A27&lt;=14,170+(D27-$D$9)/($D$16-$D$9)*(380-170),IF(A27&lt;=21,380+(D27-$D$16)/($D$23-$D$16)*(800-380),IF(A27&lt;=28,800+(D27-$D$23)/($D$30-$D$23)*(1200-800),IF(A27&lt;=35,1200+(D27-$D$30)/($D$37-$D$30)*(1800-1200),1800))))),0)</x:f>
        <x:v>1022</x:v>
      </x:c>
      <x:c r="F27" s="14" t="n">
        <x:f>E27-E26</x:f>
        <x:v>57</x:v>
      </x:c>
      <x:c r="G27" s="14" t="n">
        <x:v>1019</x:v>
      </x:c>
      <x:c r="H27" s="14"/>
    </x:row>
    <x:row r="28">
      <x:c r="A28" s="14" t="n">
        <x:v>26</x:v>
      </x:c>
      <x:c r="B28" s="14" t="n">
        <x:f>ROUND(IF(A28&lt;=7,40+A28/7*(170-40),IF(A28&lt;=14,170+(A28-7)/7*(380-170),IF(A28&lt;=21,380+(A28-14)/7*(800-380),IF(A28&lt;=28,800+(A28-21)/7*(1200-800),IF(A28&lt;=35,1200+(A28-28)/7*(1800-1200),1800))))),0)</x:f>
        <x:v>1086</x:v>
      </x:c>
      <x:c r="C28" s="14" t="n">
        <x:f>B28-B27</x:f>
        <x:v>57</x:v>
      </x:c>
      <x:c r="D28" s="14" t="n">
        <x:v>1290</x:v>
      </x:c>
      <x:c r="E28" s="14" t="n">
        <x:f>ROUND(IF(A28&lt;=7,40+(D28-$D$2)/($D$9-$D$2)*(170-40),IF(A28&lt;=14,170+(D28-$D$9)/($D$16-$D$9)*(380-170),IF(A28&lt;=21,380+(D28-$D$16)/($D$23-$D$16)*(800-380),IF(A28&lt;=28,800+(D28-$D$23)/($D$30-$D$23)*(1200-800),IF(A28&lt;=35,1200+(D28-$D$30)/($D$37-$D$30)*(1800-1200),1800))))),0)</x:f>
        <x:v>1080</x:v>
      </x:c>
      <x:c r="F28" s="14" t="n">
        <x:f>E28-E27</x:f>
        <x:v>58</x:v>
      </x:c>
      <x:c r="G28" s="14" t="n">
        <x:v>1090</x:v>
      </x:c>
      <x:c r="H28" s="14"/>
    </x:row>
    <x:row r="29">
      <x:c r="A29" s="14" t="n">
        <x:v>27</x:v>
      </x:c>
      <x:c r="B29" s="14" t="n">
        <x:f>ROUND(IF(A29&lt;=7,40+A29/7*(170-40),IF(A29&lt;=14,170+(A29-7)/7*(380-170),IF(A29&lt;=21,380+(A29-14)/7*(800-380),IF(A29&lt;=28,800+(A29-21)/7*(1200-800),IF(A29&lt;=35,1200+(A29-28)/7*(1800-1200),1800))))),0)</x:f>
        <x:v>1143</x:v>
      </x:c>
      <x:c r="C29" s="14" t="n">
        <x:f>B29-B28</x:f>
        <x:v>57</x:v>
      </x:c>
      <x:c r="D29" s="14" t="n">
        <x:v>1394</x:v>
      </x:c>
      <x:c r="E29" s="14" t="n">
        <x:f>ROUND(IF(A29&lt;=7,40+(D29-$D$2)/($D$9-$D$2)*(170-40),IF(A29&lt;=14,170+(D29-$D$9)/($D$16-$D$9)*(380-170),IF(A29&lt;=21,380+(D29-$D$16)/($D$23-$D$16)*(800-380),IF(A29&lt;=28,800+(D29-$D$23)/($D$30-$D$23)*(1200-800),IF(A29&lt;=35,1200+(D29-$D$30)/($D$37-$D$30)*(1800-1200),1800))))),0)</x:f>
        <x:v>1139</x:v>
      </x:c>
      <x:c r="F29" s="14" t="n">
        <x:f>E29-E28</x:f>
        <x:v>59</x:v>
      </x:c>
      <x:c r="G29" s="14" t="n">
        <x:v>1162</x:v>
      </x:c>
      <x:c r="H29" s="14"/>
    </x:row>
    <x:row r="30">
      <x:c r="A30" s="14" t="n">
        <x:v>28</x:v>
      </x:c>
      <x:c r="B30" s="14" t="n">
        <x:f>ROUND(IF(A30&lt;=7,40+A30/7*(170-40),IF(A30&lt;=14,170+(A30-7)/7*(380-170),IF(A30&lt;=21,380+(A30-14)/7*(800-380),IF(A30&lt;=28,800+(A30-21)/7*(1200-800),IF(A30&lt;=35,1200+(A30-28)/7*(1800-1200),1800))))),0)</x:f>
        <x:v>1200</x:v>
      </x:c>
      <x:c r="C30" s="14" t="n">
        <x:f>B30-B29</x:f>
        <x:v>57</x:v>
      </x:c>
      <x:c r="D30" s="14" t="n">
        <x:v>1500</x:v>
      </x:c>
      <x:c r="E30" s="14" t="n">
        <x:f>ROUND(IF(A30&lt;=7,40+(D30-$D$2)/($D$9-$D$2)*(170-40),IF(A30&lt;=14,170+(D30-$D$9)/($D$16-$D$9)*(380-170),IF(A30&lt;=21,380+(D30-$D$16)/($D$23-$D$16)*(800-380),IF(A30&lt;=28,800+(D30-$D$23)/($D$30-$D$23)*(1200-800),IF(A30&lt;=35,1200+(D30-$D$30)/($D$37-$D$30)*(1800-1200),1800))))),0)</x:f>
        <x:v>1200</x:v>
      </x:c>
      <x:c r="F30" s="14" t="n">
        <x:f>E30-E29</x:f>
        <x:v>61</x:v>
      </x:c>
      <x:c r="G30" s="14" t="n">
        <x:v>1236</x:v>
      </x:c>
      <x:c r="H30" s="14" t="n">
        <x:v>36</x:v>
      </x:c>
    </x:row>
    <x:row r="31">
      <x:c r="A31" s="14" t="n">
        <x:v>29</x:v>
      </x:c>
      <x:c r="B31" s="14" t="n">
        <x:f>ROUND(IF(A31&lt;=7,40+A31/7*(170-40),IF(A31&lt;=14,170+(A31-7)/7*(380-170),IF(A31&lt;=21,380+(A31-14)/7*(800-380),IF(A31&lt;=28,800+(A31-21)/7*(1200-800),IF(A31&lt;=35,1200+(A31-28)/7*(1800-1200),1800))))),0)</x:f>
        <x:v>1286</x:v>
      </x:c>
      <x:c r="C31" s="14" t="n">
        <x:f>B31-B30</x:f>
        <x:v>86</x:v>
      </x:c>
      <x:c r="D31" s="14" t="n">
        <x:v>1570</x:v>
      </x:c>
      <x:c r="E31" s="14" t="n">
        <x:f>ROUND(IF(A31&lt;=7,40+(D31-$D$2)/($D$9-$D$2)*(170-40),IF(A31&lt;=14,170+(D31-$D$9)/($D$16-$D$9)*(380-170),IF(A31&lt;=21,380+(D31-$D$16)/($D$23-$D$16)*(800-380),IF(A31&lt;=28,800+(D31-$D$23)/($D$30-$D$23)*(1200-800),IF(A31&lt;=35,1200+(D31-$D$30)/($D$37-$D$30)*(1800-1200),1800))))),0)</x:f>
        <x:v>1284</x:v>
      </x:c>
      <x:c r="F31" s="14" t="n">
        <x:f>E31-E30</x:f>
        <x:v>84</x:v>
      </x:c>
      <x:c r="G31" s="14" t="n">
        <x:v>1312</x:v>
      </x:c>
      <x:c r="H31" s="14"/>
    </x:row>
    <x:row r="32">
      <x:c r="A32" s="14" t="n">
        <x:v>30</x:v>
      </x:c>
      <x:c r="B32" s="14" t="n">
        <x:f>ROUND(IF(A32&lt;=7,40+A32/7*(170-40),IF(A32&lt;=14,170+(A32-7)/7*(380-170),IF(A32&lt;=21,380+(A32-14)/7*(800-380),IF(A32&lt;=28,800+(A32-21)/7*(1200-800),IF(A32&lt;=35,1200+(A32-28)/7*(1800-1200),1800))))),0)</x:f>
        <x:v>1371</x:v>
      </x:c>
      <x:c r="C32" s="14" t="n">
        <x:f>B32-B31</x:f>
        <x:v>85</x:v>
      </x:c>
      <x:c r="D32" s="14" t="n">
        <x:v>1640</x:v>
      </x:c>
      <x:c r="E32" s="14" t="n">
        <x:f>ROUND(IF(A32&lt;=7,40+(D32-$D$2)/($D$9-$D$2)*(170-40),IF(A32&lt;=14,170+(D32-$D$9)/($D$16-$D$9)*(380-170),IF(A32&lt;=21,380+(D32-$D$16)/($D$23-$D$16)*(800-380),IF(A32&lt;=28,800+(D32-$D$23)/($D$30-$D$23)*(1200-800),IF(A32&lt;=35,1200+(D32-$D$30)/($D$37-$D$30)*(1800-1200),1800))))),0)</x:f>
        <x:v>1368</x:v>
      </x:c>
      <x:c r="F32" s="14" t="n">
        <x:f>E32-E31</x:f>
        <x:v>84</x:v>
      </x:c>
      <x:c r="G32" s="14" t="n">
        <x:v>1389</x:v>
      </x:c>
      <x:c r="H32" s="14"/>
    </x:row>
    <x:row r="33">
      <x:c r="A33" s="14" t="n">
        <x:v>31</x:v>
      </x:c>
      <x:c r="B33" s="14" t="n">
        <x:f>ROUND(IF(A33&lt;=7,40+A33/7*(170-40),IF(A33&lt;=14,170+(A33-7)/7*(380-170),IF(A33&lt;=21,380+(A33-14)/7*(800-380),IF(A33&lt;=28,800+(A33-21)/7*(1200-800),IF(A33&lt;=35,1200+(A33-28)/7*(1800-1200),1800))))),0)</x:f>
        <x:v>1457</x:v>
      </x:c>
      <x:c r="C33" s="14" t="n">
        <x:f>B33-B32</x:f>
        <x:v>86</x:v>
      </x:c>
      <x:c r="D33" s="14" t="n">
        <x:v>1711</x:v>
      </x:c>
      <x:c r="E33" s="14" t="n">
        <x:f>ROUND(IF(A33&lt;=7,40+(D33-$D$2)/($D$9-$D$2)*(170-40),IF(A33&lt;=14,170+(D33-$D$9)/($D$16-$D$9)*(380-170),IF(A33&lt;=21,380+(D33-$D$16)/($D$23-$D$16)*(800-380),IF(A33&lt;=28,800+(D33-$D$23)/($D$30-$D$23)*(1200-800),IF(A33&lt;=35,1200+(D33-$D$30)/($D$37-$D$30)*(1800-1200),1800))))),0)</x:f>
        <x:v>1453</x:v>
      </x:c>
      <x:c r="F33" s="14" t="n">
        <x:f>E33-E32</x:f>
        <x:v>85</x:v>
      </x:c>
      <x:c r="G33" s="14" t="n">
        <x:v>1467</x:v>
      </x:c>
      <x:c r="H33" s="14"/>
    </x:row>
    <x:row r="34">
      <x:c r="A34" s="14" t="n">
        <x:v>32</x:v>
      </x:c>
      <x:c r="B34" s="14" t="n">
        <x:f>ROUND(IF(A34&lt;=7,40+A34/7*(170-40),IF(A34&lt;=14,170+(A34-7)/7*(380-170),IF(A34&lt;=21,380+(A34-14)/7*(800-380),IF(A34&lt;=28,800+(A34-21)/7*(1200-800),IF(A34&lt;=35,1200+(A34-28)/7*(1800-1200),1800))))),0)</x:f>
        <x:v>1543</x:v>
      </x:c>
      <x:c r="C34" s="14" t="n">
        <x:f>B34-B33</x:f>
        <x:v>86</x:v>
      </x:c>
      <x:c r="D34" s="14" t="n">
        <x:v>1783</x:v>
      </x:c>
      <x:c r="E34" s="14" t="n">
        <x:f>ROUND(IF(A34&lt;=7,40+(D34-$D$2)/($D$9-$D$2)*(170-40),IF(A34&lt;=14,170+(D34-$D$9)/($D$16-$D$9)*(380-170),IF(A34&lt;=21,380+(D34-$D$16)/($D$23-$D$16)*(800-380),IF(A34&lt;=28,800+(D34-$D$23)/($D$30-$D$23)*(1200-800),IF(A34&lt;=35,1200+(D34-$D$30)/($D$37-$D$30)*(1800-1200),1800))))),0)</x:f>
        <x:v>1540</x:v>
      </x:c>
      <x:c r="F34" s="14" t="n">
        <x:f>E34-E33</x:f>
        <x:v>87</x:v>
      </x:c>
      <x:c r="G34" s="14" t="n">
        <x:v>1547</x:v>
      </x:c>
      <x:c r="H34" s="14"/>
    </x:row>
    <x:row r="35">
      <x:c r="A35" s="14" t="n">
        <x:v>33</x:v>
      </x:c>
      <x:c r="B35" s="14" t="n">
        <x:f>ROUND(IF(A35&lt;=7,40+A35/7*(170-40),IF(A35&lt;=14,170+(A35-7)/7*(380-170),IF(A35&lt;=21,380+(A35-14)/7*(800-380),IF(A35&lt;=28,800+(A35-21)/7*(1200-800),IF(A35&lt;=35,1200+(A35-28)/7*(1800-1200),1800))))),0)</x:f>
        <x:v>1629</x:v>
      </x:c>
      <x:c r="C35" s="14" t="n">
        <x:f>B35-B34</x:f>
        <x:v>86</x:v>
      </x:c>
      <x:c r="D35" s="14" t="n">
        <x:v>1854</x:v>
      </x:c>
      <x:c r="E35" s="14" t="n">
        <x:f>ROUND(IF(A35&lt;=7,40+(D35-$D$2)/($D$9-$D$2)*(170-40),IF(A35&lt;=14,170+(D35-$D$9)/($D$16-$D$9)*(380-170),IF(A35&lt;=21,380+(D35-$D$16)/($D$23-$D$16)*(800-380),IF(A35&lt;=28,800+(D35-$D$23)/($D$30-$D$23)*(1200-800),IF(A35&lt;=35,1200+(D35-$D$30)/($D$37-$D$30)*(1800-1200),1800))))),0)</x:f>
        <x:v>1625</x:v>
      </x:c>
      <x:c r="F35" s="14" t="n">
        <x:f>E35-E34</x:f>
        <x:v>85</x:v>
      </x:c>
      <x:c r="G35" s="14" t="n">
        <x:v>1627</x:v>
      </x:c>
      <x:c r="H35" s="14"/>
    </x:row>
    <x:row r="36">
      <x:c r="A36" s="14" t="n">
        <x:v>34</x:v>
      </x:c>
      <x:c r="B36" s="14" t="n">
        <x:f>ROUND(IF(A36&lt;=7,40+A36/7*(170-40),IF(A36&lt;=14,170+(A36-7)/7*(380-170),IF(A36&lt;=21,380+(A36-14)/7*(800-380),IF(A36&lt;=28,800+(A36-21)/7*(1200-800),IF(A36&lt;=35,1200+(A36-28)/7*(1800-1200),1800))))),0)</x:f>
        <x:v>1714</x:v>
      </x:c>
      <x:c r="C36" s="14" t="n">
        <x:f>B36-B35</x:f>
        <x:v>85</x:v>
      </x:c>
      <x:c r="D36" s="14" t="n">
        <x:v>1927</x:v>
      </x:c>
      <x:c r="E36" s="14" t="n">
        <x:f>ROUND(IF(A36&lt;=7,40+(D36-$D$2)/($D$9-$D$2)*(170-40),IF(A36&lt;=14,170+(D36-$D$9)/($D$16-$D$9)*(380-170),IF(A36&lt;=21,380+(D36-$D$16)/($D$23-$D$16)*(800-380),IF(A36&lt;=28,800+(D36-$D$23)/($D$30-$D$23)*(1200-800),IF(A36&lt;=35,1200+(D36-$D$30)/($D$37-$D$30)*(1800-1200),1800))))),0)</x:f>
        <x:v>1712</x:v>
      </x:c>
      <x:c r="F36" s="14" t="n">
        <x:f>E36-E35</x:f>
        <x:v>87</x:v>
      </x:c>
      <x:c r="G36" s="14" t="n">
        <x:v>1708</x:v>
      </x:c>
      <x:c r="H36" s="14"/>
    </x:row>
    <x:row r="37">
      <x:c r="A37" s="14" t="n">
        <x:v>35</x:v>
      </x:c>
      <x:c r="B37" s="14" t="n">
        <x:f>ROUND(IF(A37&lt;=7,40+A37/7*(170-40),IF(A37&lt;=14,170+(A37-7)/7*(380-170),IF(A37&lt;=21,380+(A37-14)/7*(800-380),IF(A37&lt;=28,800+(A37-21)/7*(1200-800),IF(A37&lt;=35,1200+(A37-28)/7*(1800-1200),1800))))),0)</x:f>
        <x:v>1800</x:v>
      </x:c>
      <x:c r="C37" s="14" t="n">
        <x:f>B37-B36</x:f>
        <x:v>86</x:v>
      </x:c>
      <x:c r="D37" s="14" t="n">
        <x:v>2000</x:v>
      </x:c>
      <x:c r="E37" s="14" t="n">
        <x:f>ROUND(IF(A37&lt;=7,40+(D37-$D$2)/($D$9-$D$2)*(170-40),IF(A37&lt;=14,170+(D37-$D$9)/($D$16-$D$9)*(380-170),IF(A37&lt;=21,380+(D37-$D$16)/($D$23-$D$16)*(800-380),IF(A37&lt;=28,800+(D37-$D$23)/($D$30-$D$23)*(1200-800),IF(A37&lt;=35,1200+(D37-$D$30)/($D$37-$D$30)*(1800-1200),1800))))),0)</x:f>
        <x:v>1800</x:v>
      </x:c>
      <x:c r="F37" s="14" t="n">
        <x:f>E37-E36</x:f>
        <x:v>88</x:v>
      </x:c>
      <x:c r="G37" s="14" t="n">
        <x:v>1789</x:v>
      </x:c>
      <x:c r="H37" s="14" t="n">
        <x:v>-11</x:v>
      </x:c>
    </x:row>
    <x:row r="38">
      <x:c r="A38" s="14" t="n">
        <x:v>36</x:v>
      </x:c>
      <x:c r="B38" s="14" t="n">
        <x:f>ROUND(IF(A38&lt;=7,40+A38/7*(170-40),IF(A38&lt;=14,170+(A38-7)/7*(380-170),IF(A38&lt;=21,380+(A38-14)/7*(800-380),IF(A38&lt;=28,800+(A38-21)/7*(1200-800),IF(A38&lt;=35,1200+(A38-28)/7*(1800-1200),1800))))),0)</x:f>
        <x:v>1800</x:v>
      </x:c>
      <x:c r="C38" s="14" t="n">
        <x:f>B38-B37</x:f>
        <x:v>0</x:v>
      </x:c>
      <x:c r="D38" s="14" t="n">
        <x:v>1800</x:v>
      </x:c>
      <x:c r="E38" s="14" t="n">
        <x:f>ROUND(IF(A38&lt;=7,40+(D38-$D$2)/($D$9-$D$2)*(170-40),IF(A38&lt;=14,170+(D38-$D$9)/($D$16-$D$9)*(380-170),IF(A38&lt;=21,380+(D38-$D$16)/($D$23-$D$16)*(800-380),IF(A38&lt;=28,800+(D38-$D$23)/($D$30-$D$23)*(1200-800),IF(A38&lt;=35,1200+(D38-$D$30)/($D$37-$D$30)*(1800-1200),1800))))),0)</x:f>
        <x:v>1800</x:v>
      </x:c>
      <x:c r="F38" s="14" t="n">
        <x:f>E38-E37</x:f>
        <x:v>0</x:v>
      </x:c>
      <x:c r="G38" s="14" t="n">
        <x:v>1871</x:v>
      </x:c>
      <x:c r="H38" s="14"/>
    </x:row>
    <x:row r="39">
      <x:c r="A39" s="14" t="n">
        <x:v>37</x:v>
      </x:c>
      <x:c r="B39" s="14" t="n">
        <x:f>ROUND(IF(A39&lt;=7,40+A39/7*(170-40),IF(A39&lt;=14,170+(A39-7)/7*(380-170),IF(A39&lt;=21,380+(A39-14)/7*(800-380),IF(A39&lt;=28,800+(A39-21)/7*(1200-800),IF(A39&lt;=35,1200+(A39-28)/7*(1800-1200),1800))))),0)</x:f>
        <x:v>1800</x:v>
      </x:c>
      <x:c r="C39" s="14" t="n">
        <x:f>B39-B38</x:f>
        <x:v>0</x:v>
      </x:c>
      <x:c r="D39" s="14" t="n">
        <x:v>1800</x:v>
      </x:c>
      <x:c r="E39" s="14" t="n">
        <x:f>ROUND(IF(A39&lt;=7,40+(D39-$D$2)/($D$9-$D$2)*(170-40),IF(A39&lt;=14,170+(D39-$D$9)/($D$16-$D$9)*(380-170),IF(A39&lt;=21,380+(D39-$D$16)/($D$23-$D$16)*(800-380),IF(A39&lt;=28,800+(D39-$D$23)/($D$30-$D$23)*(1200-800),IF(A39&lt;=35,1200+(D39-$D$30)/($D$37-$D$30)*(1800-1200),1800))))),0)</x:f>
        <x:v>1800</x:v>
      </x:c>
      <x:c r="F39" s="14" t="n">
        <x:f>E39-E38</x:f>
        <x:v>0</x:v>
      </x:c>
      <x:c r="G39" s="14" t="n">
        <x:v>1953</x:v>
      </x:c>
      <x:c r="H39" s="14"/>
    </x:row>
    <x:row r="40">
      <x:c r="A40" s="14" t="n">
        <x:v>38</x:v>
      </x:c>
      <x:c r="B40" s="14" t="n">
        <x:f>ROUND(IF(A40&lt;=7,40+A40/7*(170-40),IF(A40&lt;=14,170+(A40-7)/7*(380-170),IF(A40&lt;=21,380+(A40-14)/7*(800-380),IF(A40&lt;=28,800+(A40-21)/7*(1200-800),IF(A40&lt;=35,1200+(A40-28)/7*(1800-1200),1800))))),0)</x:f>
        <x:v>1800</x:v>
      </x:c>
      <x:c r="C40" s="14" t="n">
        <x:f>B40-B39</x:f>
        <x:v>0</x:v>
      </x:c>
      <x:c r="D40" s="14" t="n">
        <x:v>1800</x:v>
      </x:c>
      <x:c r="E40" s="14" t="n">
        <x:f>ROUND(IF(A40&lt;=7,40+(D40-$D$2)/($D$9-$D$2)*(170-40),IF(A40&lt;=14,170+(D40-$D$9)/($D$16-$D$9)*(380-170),IF(A40&lt;=21,380+(D40-$D$16)/($D$23-$D$16)*(800-380),IF(A40&lt;=28,800+(D40-$D$23)/($D$30-$D$23)*(1200-800),IF(A40&lt;=35,1200+(D40-$D$30)/($D$37-$D$30)*(1800-1200),1800))))),0)</x:f>
        <x:v>1800</x:v>
      </x:c>
      <x:c r="F40" s="14" t="n">
        <x:f>E40-E39</x:f>
        <x:v>0</x:v>
      </x:c>
      <x:c r="G40" s="14" t="n">
        <x:v>2036</x:v>
      </x:c>
      <x:c r="H40" s="14"/>
    </x:row>
    <x:row r="41">
      <x:c r="A41" s="14" t="n">
        <x:v>39</x:v>
      </x:c>
      <x:c r="B41" s="14" t="n">
        <x:f>ROUND(IF(A41&lt;=7,40+A41/7*(170-40),IF(A41&lt;=14,170+(A41-7)/7*(380-170),IF(A41&lt;=21,380+(A41-14)/7*(800-380),IF(A41&lt;=28,800+(A41-21)/7*(1200-800),IF(A41&lt;=35,1200+(A41-28)/7*(1800-1200),1800))))),0)</x:f>
        <x:v>1800</x:v>
      </x:c>
      <x:c r="C41" s="14" t="n">
        <x:f>B41-B40</x:f>
        <x:v>0</x:v>
      </x:c>
      <x:c r="D41" s="14" t="n">
        <x:v>1800</x:v>
      </x:c>
      <x:c r="E41" s="14" t="n">
        <x:f>ROUND(IF(A41&lt;=7,40+(D41-$D$2)/($D$9-$D$2)*(170-40),IF(A41&lt;=14,170+(D41-$D$9)/($D$16-$D$9)*(380-170),IF(A41&lt;=21,380+(D41-$D$16)/($D$23-$D$16)*(800-380),IF(A41&lt;=28,800+(D41-$D$23)/($D$30-$D$23)*(1200-800),IF(A41&lt;=35,1200+(D41-$D$30)/($D$37-$D$30)*(1800-1200),1800))))),0)</x:f>
        <x:v>1800</x:v>
      </x:c>
      <x:c r="F41" s="14" t="n">
        <x:f>E41-E40</x:f>
        <x:v>0</x:v>
      </x:c>
      <x:c r="G41" s="14" t="n">
        <x:v>2118</x:v>
      </x:c>
      <x:c r="H41" s="14"/>
    </x:row>
    <x:row r="42">
      <x:c r="A42" s="14" t="n">
        <x:v>40</x:v>
      </x:c>
      <x:c r="B42" s="14" t="n">
        <x:f>ROUND(IF(A42&lt;=7,40+A42/7*(170-40),IF(A42&lt;=14,170+(A42-7)/7*(380-170),IF(A42&lt;=21,380+(A42-14)/7*(800-380),IF(A42&lt;=28,800+(A42-21)/7*(1200-800),IF(A42&lt;=35,1200+(A42-28)/7*(1800-1200),1800))))),0)</x:f>
        <x:v>1800</x:v>
      </x:c>
      <x:c r="C42" s="14" t="n">
        <x:f>B42-B41</x:f>
        <x:v>0</x:v>
      </x:c>
      <x:c r="D42" s="14" t="n">
        <x:v>1800</x:v>
      </x:c>
      <x:c r="E42" s="14" t="n">
        <x:f>ROUND(IF(A42&lt;=7,40+(D42-$D$2)/($D$9-$D$2)*(170-40),IF(A42&lt;=14,170+(D42-$D$9)/($D$16-$D$9)*(380-170),IF(A42&lt;=21,380+(D42-$D$16)/($D$23-$D$16)*(800-380),IF(A42&lt;=28,800+(D42-$D$23)/($D$30-$D$23)*(1200-800),IF(A42&lt;=35,1200+(D42-$D$30)/($D$37-$D$30)*(1800-1200),1800))))),0)</x:f>
        <x:v>1800</x:v>
      </x:c>
      <x:c r="F42" s="14" t="n">
        <x:f>E42-E41</x:f>
        <x:v>0</x:v>
      </x:c>
      <x:c r="G42" s="14" t="n">
        <x:v>2200</x:v>
      </x:c>
      <x:c r="H42" s="14"/>
    </x:row>
    <x:row r="43">
      <x:c r="A43" s="14" t="n">
        <x:v>41</x:v>
      </x:c>
      <x:c r="B43" s="14" t="n">
        <x:f>ROUND(IF(A43&lt;=7,40+A43/7*(170-40),IF(A43&lt;=14,170+(A43-7)/7*(380-170),IF(A43&lt;=21,380+(A43-14)/7*(800-380),IF(A43&lt;=28,800+(A43-21)/7*(1200-800),IF(A43&lt;=35,1200+(A43-28)/7*(1800-1200),1800))))),0)</x:f>
        <x:v>1800</x:v>
      </x:c>
      <x:c r="C43" s="14" t="n">
        <x:f>B43-B42</x:f>
        <x:v>0</x:v>
      </x:c>
      <x:c r="D43" s="14" t="n">
        <x:v>1800</x:v>
      </x:c>
      <x:c r="E43" s="14" t="n">
        <x:f>ROUND(IF(A43&lt;=7,40+(D43-$D$2)/($D$9-$D$2)*(170-40),IF(A43&lt;=14,170+(D43-$D$9)/($D$16-$D$9)*(380-170),IF(A43&lt;=21,380+(D43-$D$16)/($D$23-$D$16)*(800-380),IF(A43&lt;=28,800+(D43-$D$23)/($D$30-$D$23)*(1200-800),IF(A43&lt;=35,1200+(D43-$D$30)/($D$37-$D$30)*(1800-1200),1800))))),0)</x:f>
        <x:v>1800</x:v>
      </x:c>
      <x:c r="F43" s="14" t="n">
        <x:f>E43-E42</x:f>
        <x:v>0</x:v>
      </x:c>
      <x:c r="G43" s="14" t="n">
        <x:v>2282</x:v>
      </x:c>
      <x:c r="H43" s="14"/>
    </x:row>
    <x:row r="44">
      <x:c r="A44" s="14" t="n">
        <x:v>42</x:v>
      </x:c>
      <x:c r="B44" s="14" t="n">
        <x:f>ROUND(IF(A44&lt;=7,40+A44/7*(170-40),IF(A44&lt;=14,170+(A44-7)/7*(380-170),IF(A44&lt;=21,380+(A44-14)/7*(800-380),IF(A44&lt;=28,800+(A44-21)/7*(1200-800),IF(A44&lt;=35,1200+(A44-28)/7*(1800-1200),1800))))),0)</x:f>
        <x:v>1800</x:v>
      </x:c>
      <x:c r="C44" s="14" t="n">
        <x:f>B44-B43</x:f>
        <x:v>0</x:v>
      </x:c>
      <x:c r="D44" s="14" t="n">
        <x:v>1800</x:v>
      </x:c>
      <x:c r="E44" s="14" t="n">
        <x:f>ROUND(IF(A44&lt;=7,40+(D44-$D$2)/($D$9-$D$2)*(170-40),IF(A44&lt;=14,170+(D44-$D$9)/($D$16-$D$9)*(380-170),IF(A44&lt;=21,380+(D44-$D$16)/($D$23-$D$16)*(800-380),IF(A44&lt;=28,800+(D44-$D$23)/($D$30-$D$23)*(1200-800),IF(A44&lt;=35,1200+(D44-$D$30)/($D$37-$D$30)*(1800-1200),1800))))),0)</x:f>
        <x:v>1800</x:v>
      </x:c>
      <x:c r="F44" s="14" t="n">
        <x:f>E44-E43</x:f>
        <x:v>0</x:v>
      </x:c>
      <x:c r="G44" s="14" t="n">
        <x:v>2364</x:v>
      </x:c>
      <x:c r="H44" s="14"/>
    </x:row>
    <x:row r="45">
      <x:c r="A45" s="14" t="n">
        <x:v>43</x:v>
      </x:c>
      <x:c r="B45" s="14" t="n">
        <x:f>ROUND(IF(A45&lt;=7,40+A45/7*(170-40),IF(A45&lt;=14,170+(A45-7)/7*(380-170),IF(A45&lt;=21,380+(A45-14)/7*(800-380),IF(A45&lt;=28,800+(A45-21)/7*(1200-800),IF(A45&lt;=35,1200+(A45-28)/7*(1800-1200),1800))))),0)</x:f>
        <x:v>1800</x:v>
      </x:c>
      <x:c r="C45" s="14" t="n">
        <x:f>B45-B44</x:f>
        <x:v>0</x:v>
      </x:c>
      <x:c r="D45" s="14" t="n">
        <x:v>1800</x:v>
      </x:c>
      <x:c r="E45" s="14" t="n">
        <x:f>ROUND(IF(A45&lt;=7,40+(D45-$D$2)/($D$9-$D$2)*(170-40),IF(A45&lt;=14,170+(D45-$D$9)/($D$16-$D$9)*(380-170),IF(A45&lt;=21,380+(D45-$D$16)/($D$23-$D$16)*(800-380),IF(A45&lt;=28,800+(D45-$D$23)/($D$30-$D$23)*(1200-800),IF(A45&lt;=35,1200+(D45-$D$30)/($D$37-$D$30)*(1800-1200),1800))))),0)</x:f>
        <x:v>1800</x:v>
      </x:c>
      <x:c r="F45" s="14" t="n">
        <x:f>E45-E44</x:f>
        <x:v>0</x:v>
      </x:c>
      <x:c r="G45" s="14" t="n">
        <x:v>2445</x:v>
      </x:c>
      <x:c r="H45" s="14"/>
    </x:row>
    <x:row r="46">
      <x:c r="A46" s="14" t="n">
        <x:v>44</x:v>
      </x:c>
      <x:c r="B46" s="14" t="n">
        <x:f>ROUND(IF(A46&lt;=7,40+A46/7*(170-40),IF(A46&lt;=14,170+(A46-7)/7*(380-170),IF(A46&lt;=21,380+(A46-14)/7*(800-380),IF(A46&lt;=28,800+(A46-21)/7*(1200-800),IF(A46&lt;=35,1200+(A46-28)/7*(1800-1200),1800))))),0)</x:f>
        <x:v>1800</x:v>
      </x:c>
      <x:c r="C46" s="14" t="n">
        <x:f>B46-B45</x:f>
        <x:v>0</x:v>
      </x:c>
      <x:c r="D46" s="14" t="n">
        <x:v>1800</x:v>
      </x:c>
      <x:c r="E46" s="14" t="n">
        <x:f>ROUND(IF(A46&lt;=7,40+(D46-$D$2)/($D$9-$D$2)*(170-40),IF(A46&lt;=14,170+(D46-$D$9)/($D$16-$D$9)*(380-170),IF(A46&lt;=21,380+(D46-$D$16)/($D$23-$D$16)*(800-380),IF(A46&lt;=28,800+(D46-$D$23)/($D$30-$D$23)*(1200-800),IF(A46&lt;=35,1200+(D46-$D$30)/($D$37-$D$30)*(1800-1200),1800))))),0)</x:f>
        <x:v>1800</x:v>
      </x:c>
      <x:c r="F46" s="14" t="n">
        <x:f>E46-E45</x:f>
        <x:v>0</x:v>
      </x:c>
      <x:c r="G46" s="14" t="n">
        <x:v>2526</x:v>
      </x:c>
      <x:c r="H46" s="14"/>
    </x:row>
    <x:row r="47">
      <x:c r="A47" s="14" t="n">
        <x:v>45</x:v>
      </x:c>
      <x:c r="B47" s="14" t="n">
        <x:f>ROUND(IF(A47&lt;=7,40+A47/7*(170-40),IF(A47&lt;=14,170+(A47-7)/7*(380-170),IF(A47&lt;=21,380+(A47-14)/7*(800-380),IF(A47&lt;=28,800+(A47-21)/7*(1200-800),IF(A47&lt;=35,1200+(A47-28)/7*(1800-1200),1800))))),0)</x:f>
        <x:v>1800</x:v>
      </x:c>
      <x:c r="C47" s="14" t="n">
        <x:f>B47-B46</x:f>
        <x:v>0</x:v>
      </x:c>
      <x:c r="D47" s="14" t="n">
        <x:v>1800</x:v>
      </x:c>
      <x:c r="E47" s="14" t="n">
        <x:f>ROUND(IF(A47&lt;=7,40+(D47-$D$2)/($D$9-$D$2)*(170-40),IF(A47&lt;=14,170+(D47-$D$9)/($D$16-$D$9)*(380-170),IF(A47&lt;=21,380+(D47-$D$16)/($D$23-$D$16)*(800-380),IF(A47&lt;=28,800+(D47-$D$23)/($D$30-$D$23)*(1200-800),IF(A47&lt;=35,1200+(D47-$D$30)/($D$37-$D$30)*(1800-1200),1800))))),0)</x:f>
        <x:v>1800</x:v>
      </x:c>
      <x:c r="F47" s="14" t="n">
        <x:f>E47-E46</x:f>
        <x:v>0</x:v>
      </x:c>
      <x:c r="G47" s="14" t="n">
        <x:v>2606</x:v>
      </x:c>
      <x:c r="H47" s="14"/>
    </x:row>
    <x:row r="48">
      <x:c r="A48" s="14" t="n">
        <x:v>46</x:v>
      </x:c>
      <x:c r="B48" s="14" t="n">
        <x:f>ROUND(IF(A48&lt;=7,40+A48/7*(170-40),IF(A48&lt;=14,170+(A48-7)/7*(380-170),IF(A48&lt;=21,380+(A48-14)/7*(800-380),IF(A48&lt;=28,800+(A48-21)/7*(1200-800),IF(A48&lt;=35,1200+(A48-28)/7*(1800-1200),1800))))),0)</x:f>
        <x:v>1800</x:v>
      </x:c>
      <x:c r="C48" s="14" t="n">
        <x:f>B48-B47</x:f>
        <x:v>0</x:v>
      </x:c>
      <x:c r="D48" s="14" t="n">
        <x:v>1800</x:v>
      </x:c>
      <x:c r="E48" s="14" t="n">
        <x:f>ROUND(IF(A48&lt;=7,40+(D48-$D$2)/($D$9-$D$2)*(170-40),IF(A48&lt;=14,170+(D48-$D$9)/($D$16-$D$9)*(380-170),IF(A48&lt;=21,380+(D48-$D$16)/($D$23-$D$16)*(800-380),IF(A48&lt;=28,800+(D48-$D$23)/($D$30-$D$23)*(1200-800),IF(A48&lt;=35,1200+(D48-$D$30)/($D$37-$D$30)*(1800-1200),1800))))),0)</x:f>
        <x:v>1800</x:v>
      </x:c>
      <x:c r="F48" s="14" t="n">
        <x:f>E48-E47</x:f>
        <x:v>0</x:v>
      </x:c>
      <x:c r="G48" s="14" t="n">
        <x:v>2685</x:v>
      </x:c>
      <x:c r="H48" s="14"/>
    </x:row>
    <x:row r="49">
      <x:c r="A49" s="14" t="n">
        <x:v>47</x:v>
      </x:c>
      <x:c r="B49" s="14" t="n">
        <x:f>ROUND(IF(A49&lt;=7,40+A49/7*(170-40),IF(A49&lt;=14,170+(A49-7)/7*(380-170),IF(A49&lt;=21,380+(A49-14)/7*(800-380),IF(A49&lt;=28,800+(A49-21)/7*(1200-800),IF(A49&lt;=35,1200+(A49-28)/7*(1800-1200),1800))))),0)</x:f>
        <x:v>1800</x:v>
      </x:c>
      <x:c r="C49" s="14" t="n">
        <x:f>B49-B48</x:f>
        <x:v>0</x:v>
      </x:c>
      <x:c r="D49" s="14" t="n">
        <x:v>1800</x:v>
      </x:c>
      <x:c r="E49" s="14" t="n">
        <x:f>ROUND(IF(A49&lt;=7,40+(D49-$D$2)/($D$9-$D$2)*(170-40),IF(A49&lt;=14,170+(D49-$D$9)/($D$16-$D$9)*(380-170),IF(A49&lt;=21,380+(D49-$D$16)/($D$23-$D$16)*(800-380),IF(A49&lt;=28,800+(D49-$D$23)/($D$30-$D$23)*(1200-800),IF(A49&lt;=35,1200+(D49-$D$30)/($D$37-$D$30)*(1800-1200),1800))))),0)</x:f>
        <x:v>1800</x:v>
      </x:c>
      <x:c r="F49" s="14" t="n">
        <x:f>E49-E48</x:f>
        <x:v>0</x:v>
      </x:c>
      <x:c r="G49" s="14" t="n">
        <x:v>2764</x:v>
      </x:c>
      <x:c r="H49" s="14"/>
    </x:row>
    <x:row r="50">
      <x:c r="A50" s="14" t="n">
        <x:v>48</x:v>
      </x:c>
      <x:c r="B50" s="14" t="n">
        <x:f>ROUND(IF(A50&lt;=7,40+A50/7*(170-40),IF(A50&lt;=14,170+(A50-7)/7*(380-170),IF(A50&lt;=21,380+(A50-14)/7*(800-380),IF(A50&lt;=28,800+(A50-21)/7*(1200-800),IF(A50&lt;=35,1200+(A50-28)/7*(1800-1200),1800))))),0)</x:f>
        <x:v>1800</x:v>
      </x:c>
      <x:c r="C50" s="14" t="n">
        <x:f>B50-B49</x:f>
        <x:v>0</x:v>
      </x:c>
      <x:c r="D50" s="14" t="n">
        <x:v>1800</x:v>
      </x:c>
      <x:c r="E50" s="14" t="n">
        <x:f>ROUND(IF(A50&lt;=7,40+(D50-$D$2)/($D$9-$D$2)*(170-40),IF(A50&lt;=14,170+(D50-$D$9)/($D$16-$D$9)*(380-170),IF(A50&lt;=21,380+(D50-$D$16)/($D$23-$D$16)*(800-380),IF(A50&lt;=28,800+(D50-$D$23)/($D$30-$D$23)*(1200-800),IF(A50&lt;=35,1200+(D50-$D$30)/($D$37-$D$30)*(1800-1200),1800))))),0)</x:f>
        <x:v>1800</x:v>
      </x:c>
      <x:c r="F50" s="14" t="n">
        <x:f>E50-E49</x:f>
        <x:v>0</x:v>
      </x:c>
      <x:c r="G50" s="14" t="n">
        <x:v>2841</x:v>
      </x:c>
      <x:c r="H50" s="14"/>
    </x:row>
    <x:row r="51">
      <x:c r="A51" s="14" t="n">
        <x:v>49</x:v>
      </x:c>
      <x:c r="B51" s="14" t="n">
        <x:f>ROUND(IF(A51&lt;=7,40+A51/7*(170-40),IF(A51&lt;=14,170+(A51-7)/7*(380-170),IF(A51&lt;=21,380+(A51-14)/7*(800-380),IF(A51&lt;=28,800+(A51-21)/7*(1200-800),IF(A51&lt;=35,1200+(A51-28)/7*(1800-1200),1800))))),0)</x:f>
        <x:v>1800</x:v>
      </x:c>
      <x:c r="C51" s="14" t="n">
        <x:f>B51-B50</x:f>
        <x:v>0</x:v>
      </x:c>
      <x:c r="D51" s="14" t="n">
        <x:v>1800</x:v>
      </x:c>
      <x:c r="E51" s="14" t="n">
        <x:f>ROUND(IF(A51&lt;=7,40+(D51-$D$2)/($D$9-$D$2)*(170-40),IF(A51&lt;=14,170+(D51-$D$9)/($D$16-$D$9)*(380-170),IF(A51&lt;=21,380+(D51-$D$16)/($D$23-$D$16)*(800-380),IF(A51&lt;=28,800+(D51-$D$23)/($D$30-$D$23)*(1200-800),IF(A51&lt;=35,1200+(D51-$D$30)/($D$37-$D$30)*(1800-1200),1800))))),0)</x:f>
        <x:v>1800</x:v>
      </x:c>
      <x:c r="F51" s="14" t="n">
        <x:f>E51-E50</x:f>
        <x:v>0</x:v>
      </x:c>
      <x:c r="G51" s="14" t="n">
        <x:v>2917</x:v>
      </x:c>
      <x:c r="H51" s="14"/>
    </x:row>
  </x:sheetData>
  <x:conditionalFormatting sqref="A2:H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4b1ba0555547da"/>
  </x:tableParts>
</x:worksheet>
</file>